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60c45f44f84e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hedule Matrix" sheetId="1" r:id="R4512be6c00cf4311"/>
    <x:sheet xmlns:r="http://schemas.openxmlformats.org/officeDocument/2006/relationships" name="Slot Availability" sheetId="2" r:id="R310da06859894b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7">
    <x:font>
      <x:sz val="11"/>
      <x:name val="Carlito"/>
    </x:font>
    <x:font>
      <x:b/>
      <x:sz val="16"/>
      <x:color rgb="FF102528"/>
      <x:name val="Arial"/>
    </x:font>
    <x:font>
      <x:i/>
      <x:sz val="10"/>
      <x:color rgb="FF496164"/>
      <x:name val="Arial"/>
    </x:font>
    <x:font>
      <x:b/>
      <x:sz val="10"/>
      <x:color rgb="FFFFFFFF"/>
      <x:name val="Arial"/>
    </x:font>
    <x:font>
      <x:sz val="10"/>
      <x:color rgb="FF26383A"/>
      <x:name val="Arial"/>
    </x:font>
    <x:font>
      <x:sz val="10"/>
      <x:name val="Arial"/>
    </x:font>
    <x:font>
      <x:b/>
      <x:sz val="10"/>
      <x:color rgb="FF654D1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D5F63"/>
      </x:patternFill>
    </x:fill>
    <x:fill>
      <x:patternFill patternType="solid">
        <x:fgColor rgb="FF17233C"/>
      </x:patternFill>
    </x:fill>
    <x:fill>
      <x:patternFill patternType="solid">
        <x:fgColor rgb="FFFFF3CD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DE4E1"/>
      </x:bottom>
      <x:diagonal/>
    </x:border>
    <x:border>
      <x:left/>
      <x:right/>
      <x:top style="thin">
        <x:color rgb="FFDDE4E1"/>
      </x:top>
      <x:bottom style="thin">
        <x:color rgb="FFDDE4E1"/>
      </x:bottom>
      <x:diagonal/>
    </x:border>
    <x:border>
      <x:left/>
      <x:right/>
      <x:top style="thin">
        <x:color rgb="FFDDE4E1"/>
      </x:top>
      <x:bottom/>
      <x:diagonal/>
    </x:border>
  </x:borders>
  <x:cellStyleXfs count="1">
    <x:xf numFmtId="0" fontId="0" fillId="0" borderId="0"/>
  </x:cellStyleXfs>
  <x:cellXfs count="5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horizontal="center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3" borderId="3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4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0D786F"/>
      </x:font>
      <x:fill>
        <x:patternFill patternType="solid">
          <x:bgColor rgb="FFD8F1E9"/>
        </x:patternFill>
      </x:fill>
    </x:dxf>
    <x:dxf>
      <x:font>
        <x:color rgb="FF557557"/>
      </x:font>
      <x:fill>
        <x:patternFill patternType="solid">
          <x:bgColor rgb="FFEAF4EA"/>
        </x:patternFill>
      </x:fill>
    </x:dxf>
    <x:dxf>
      <x:font>
        <x:b/>
        <x:color rgb="FF8D4338"/>
      </x:font>
      <x:fill>
        <x:patternFill patternType="solid">
          <x:bgColor rgb="FFF7E4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7c4337c13a46c2" /><Relationship Type="http://schemas.openxmlformats.org/officeDocument/2006/relationships/theme" Target="/xl/theme/theme1.xml" Id="R56ec687c5a47482e" /><Relationship Type="http://schemas.openxmlformats.org/officeDocument/2006/relationships/sharedStrings" Target="/xl/sharedStrings.xml" Id="Rf93e20662bc74d47" /><Relationship Type="http://schemas.openxmlformats.org/officeDocument/2006/relationships/worksheet" Target="/xl/worksheets/sheet1.xml" Id="R4512be6c00cf4311" /><Relationship Type="http://schemas.openxmlformats.org/officeDocument/2006/relationships/worksheet" Target="/xl/worksheets/sheet2.xml" Id="R310da06859894b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D786F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8" hidden="0" customWidth="1"/>
    <x:col min="2" max="2" width="45" hidden="0" customWidth="1"/>
    <x:col min="3" max="3" width="14" hidden="0" customWidth="1"/>
    <x:col min="4" max="4" width="34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</x:cols>
  <x:sheetData>
    <x:row r="1">
      <x:c r="A1" s="27"/>
      <x:c r="B1" s="27"/>
      <x:c r="C1" s="27"/>
      <x:c r="D1" s="27"/>
      <x:c r="E1" s="27"/>
      <x:c r="F1" s="27"/>
      <x:c r="G1" s="27"/>
      <x:c r="H1" s="27"/>
      <x:c r="I1" s="27"/>
    </x:row>
    <x:row r="2">
      <x:c r="A2" s="1" t="str">
        <x:v>Talkivana publishing schedule matrix</x:v>
      </x:c>
    </x:row>
    <x:row r="3">
      <x:c r="A3" s="2" t="str">
        <x:v>A tick identifies the assigned India Standard Time slot. Catch-up times appear in the final column.</x:v>
      </x:c>
    </x:row>
    <x:row r="5">
      <x:c r="A5" s="14" t="str">
        <x:v>S.No.</x:v>
      </x:c>
      <x:c r="B5" s="15" t="str">
        <x:v>YouTube video / Short</x:v>
      </x:c>
      <x:c r="C5" s="15" t="str">
        <x:v>Publish date</x:v>
      </x:c>
      <x:c r="D5" s="15" t="str">
        <x:v>Status</x:v>
      </x:c>
      <x:c r="E5" s="15" t="str">
        <x:v>07:30</x:v>
      </x:c>
      <x:c r="F5" s="15" t="str">
        <x:v>12:30</x:v>
      </x:c>
      <x:c r="G5" s="15" t="str">
        <x:v>18:00</x:v>
      </x:c>
      <x:c r="H5" s="15" t="str">
        <x:v>22:30</x:v>
      </x:c>
      <x:c r="I5" s="16" t="str">
        <x:v>Catch-up / other</x:v>
      </x:c>
    </x:row>
    <x:row r="6">
      <x:c r="A6" s="21" t="n">
        <x:v>1</x:v>
      </x:c>
      <x:c r="B6" s="28" t="str">
        <x:v>Short 1: Essential Appointment Words</x:v>
      </x:c>
      <x:c r="C6" s="28" t="str">
        <x:v>2026-10-25</x:v>
      </x:c>
      <x:c r="D6" s="28" t="str">
        <x:v>Published publicly</x:v>
      </x:c>
      <x:c r="E6" s="24" t="str"/>
      <x:c r="F6" s="24" t="str"/>
      <x:c r="G6" s="24" t="str"/>
      <x:c r="H6" s="24" t="str">
        <x:v>✓</x:v>
      </x:c>
      <x:c r="I6" s="24" t="str"/>
    </x:row>
    <x:row r="7">
      <x:c r="A7" s="22" t="n">
        <x:v>2</x:v>
      </x:c>
      <x:c r="B7" s="29" t="str">
        <x:v>Short 2: Essential Weather Words</x:v>
      </x:c>
      <x:c r="C7" s="29" t="str">
        <x:v>2026-10-25</x:v>
      </x:c>
      <x:c r="D7" s="29" t="str">
        <x:v>Published publicly</x:v>
      </x:c>
      <x:c r="E7" s="25" t="str"/>
      <x:c r="F7" s="25" t="str">
        <x:v>✓</x:v>
      </x:c>
      <x:c r="G7" s="25" t="str"/>
      <x:c r="H7" s="25" t="str"/>
      <x:c r="I7" s="25" t="str"/>
    </x:row>
    <x:row r="8">
      <x:c r="A8" s="22" t="n">
        <x:v>3</x:v>
      </x:c>
      <x:c r="B8" s="29" t="str">
        <x:v>Video 1: Booking a Doctor's Appointment</x:v>
      </x:c>
      <x:c r="C8" s="29" t="str">
        <x:v>2026-10-26</x:v>
      </x:c>
      <x:c r="D8" s="29" t="str">
        <x:v>Published publicly</x:v>
      </x:c>
      <x:c r="E8" s="25" t="str">
        <x:v>✓</x:v>
      </x:c>
      <x:c r="F8" s="25" t="str"/>
      <x:c r="G8" s="25" t="str"/>
      <x:c r="H8" s="25" t="str"/>
      <x:c r="I8" s="25" t="str"/>
    </x:row>
    <x:row r="9">
      <x:c r="A9" s="22" t="n">
        <x:v>4</x:v>
      </x:c>
      <x:c r="B9" s="29" t="str">
        <x:v>Video 2: Talking About the Weather Before Leaving</x:v>
      </x:c>
      <x:c r="C9" s="29" t="str">
        <x:v>2026-10-26</x:v>
      </x:c>
      <x:c r="D9" s="29" t="str">
        <x:v>Scheduled; currently private</x:v>
      </x:c>
      <x:c r="E9" s="25" t="str"/>
      <x:c r="F9" s="25" t="str"/>
      <x:c r="G9" s="25" t="str">
        <x:v>✓</x:v>
      </x:c>
      <x:c r="H9" s="25" t="str"/>
      <x:c r="I9" s="25" t="str"/>
    </x:row>
    <x:row r="10">
      <x:c r="A10" s="22" t="n">
        <x:v>5</x:v>
      </x:c>
      <x:c r="B10" s="29" t="str">
        <x:v>Short 1: German Public Transport Vocabulary</x:v>
      </x:c>
      <x:c r="C10" s="29" t="str">
        <x:v>2026-10-27</x:v>
      </x:c>
      <x:c r="D10" s="29" t="str">
        <x:v>Scheduled; currently private</x:v>
      </x:c>
      <x:c r="E10" s="25" t="str"/>
      <x:c r="F10" s="25" t="str">
        <x:v>✓</x:v>
      </x:c>
      <x:c r="G10" s="25" t="str"/>
      <x:c r="H10" s="25" t="str"/>
      <x:c r="I10" s="25" t="str"/>
    </x:row>
    <x:row r="11">
      <x:c r="A11" s="22" t="n">
        <x:v>6</x:v>
      </x:c>
      <x:c r="B11" s="29" t="str">
        <x:v>Short 2: German Direction Vocabulary</x:v>
      </x:c>
      <x:c r="C11" s="29" t="str">
        <x:v>2026-10-27</x:v>
      </x:c>
      <x:c r="D11" s="29" t="str">
        <x:v>Scheduled; currently private</x:v>
      </x:c>
      <x:c r="E11" s="25" t="str"/>
      <x:c r="F11" s="25" t="str"/>
      <x:c r="G11" s="25" t="str"/>
      <x:c r="H11" s="25" t="str">
        <x:v>✓</x:v>
      </x:c>
      <x:c r="I11" s="25" t="str"/>
    </x:row>
    <x:row r="12">
      <x:c r="A12" s="22" t="n">
        <x:v>7</x:v>
      </x:c>
      <x:c r="B12" s="29" t="str">
        <x:v>Video 1: Buying a Train Ticket at the Station</x:v>
      </x:c>
      <x:c r="C12" s="29" t="str">
        <x:v>2026-10-28</x:v>
      </x:c>
      <x:c r="D12" s="29" t="str">
        <x:v>Scheduled; currently private</x:v>
      </x:c>
      <x:c r="E12" s="25" t="str"/>
      <x:c r="F12" s="25" t="str"/>
      <x:c r="G12" s="25" t="str">
        <x:v>✓</x:v>
      </x:c>
      <x:c r="H12" s="25" t="str"/>
      <x:c r="I12" s="25" t="str"/>
    </x:row>
    <x:row r="13">
      <x:c r="A13" s="23" t="n">
        <x:v>8</x:v>
      </x:c>
      <x:c r="B13" s="30" t="str">
        <x:v>Video 2: Asking for Directions in the City</x:v>
      </x:c>
      <x:c r="C13" s="30" t="str">
        <x:v>2026-10-28</x:v>
      </x:c>
      <x:c r="D13" s="30" t="str">
        <x:v>Scheduled; currently private</x:v>
      </x:c>
      <x:c r="E13" s="26" t="str">
        <x:v>✓</x:v>
      </x:c>
      <x:c r="F13" s="26" t="str"/>
      <x:c r="G13" s="26" t="str"/>
      <x:c r="H13" s="26" t="str"/>
      <x:c r="I13" s="26" t="str"/>
    </x:row>
  </x:sheetData>
  <x:mergeCells>
    <x:mergeCell ref="A2:I2"/>
    <x:mergeCell ref="A3:I3"/>
  </x:mergeCells>
  <x:conditionalFormatting sqref="E6:H13">
    <x:cfRule type="containsText" dxfId="0" priority="1" operator="containsText" text="✓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2C45C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0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12" hidden="0" customWidth="1"/>
    <x:col min="8" max="8" width="14" hidden="0" customWidth="1"/>
  </x:cols>
  <x:sheetData>
    <x:row r="2">
      <x:c r="A2" s="1" t="str">
        <x:v>Four-slot availability · next 14 days</x:v>
      </x:c>
    </x:row>
    <x:row r="3">
      <x:c r="A3" s="2" t="str">
        <x:v>This view is regenerated from the same scheduled-video registry that the automation checks before assigning a time.</x:v>
      </x:c>
    </x:row>
    <x:row r="5">
      <x:c r="A5" s="39" t="str">
        <x:v>Date</x:v>
      </x:c>
      <x:c r="B5" s="40" t="str">
        <x:v>Day</x:v>
      </x:c>
      <x:c r="C5" s="40" t="str">
        <x:v>07:30</x:v>
      </x:c>
      <x:c r="D5" s="40" t="str">
        <x:v>12:30</x:v>
      </x:c>
      <x:c r="E5" s="40" t="str">
        <x:v>18:00</x:v>
      </x:c>
      <x:c r="F5" s="40" t="str">
        <x:v>22:30</x:v>
      </x:c>
      <x:c r="G5" s="40" t="str">
        <x:v>Open slots</x:v>
      </x:c>
      <x:c r="H5" s="41" t="str">
        <x:v>Earliest open</x:v>
      </x:c>
    </x:row>
    <x:row r="6">
      <x:c r="A6" s="53" t="d">
        <x:v>2026-10-26T00:00:00.000Z</x:v>
      </x:c>
      <x:c r="B6" s="28" t="str">
        <x:v>Mon</x:v>
      </x:c>
      <x:c r="C6" s="28" t="str">
        <x:v>Video 1: Booking a Doctor's Appointment</x:v>
      </x:c>
      <x:c r="D6" s="28" t="str">
        <x:v>Available</x:v>
      </x:c>
      <x:c r="E6" s="28" t="str">
        <x:v>Video 2: Talking About the Weather Before Leaving</x:v>
      </x:c>
      <x:c r="F6" s="28" t="str">
        <x:v>Available</x:v>
      </x:c>
      <x:c r="G6" s="28" t="n">
        <x:f>COUNTIF(C6:F6,"Available")</x:f>
        <x:v>2</x:v>
      </x:c>
      <x:c r="H6" s="28" t="str">
        <x:f>IF(C6="Available","07:30",IF(D6="Available","12:30",IF(E6="Available","18:00",IF(F6="Available","22:30","Full"))))</x:f>
        <x:v>12:30</x:v>
      </x:c>
    </x:row>
    <x:row r="7">
      <x:c r="A7" s="54" t="d">
        <x:v>2026-10-27T00:00:00.000Z</x:v>
      </x:c>
      <x:c r="B7" s="29" t="str">
        <x:v>Tue</x:v>
      </x:c>
      <x:c r="C7" s="29" t="str">
        <x:v>Available</x:v>
      </x:c>
      <x:c r="D7" s="29" t="str">
        <x:v>Short 1: German Public Transport Vocabulary</x:v>
      </x:c>
      <x:c r="E7" s="29" t="str">
        <x:v>Available</x:v>
      </x:c>
      <x:c r="F7" s="29" t="str">
        <x:v>Short 2: German Direction Vocabulary</x:v>
      </x:c>
      <x:c r="G7" s="29" t="n">
        <x:f>COUNTIF(C7:F7,"Available")</x:f>
        <x:v>2</x:v>
      </x:c>
      <x:c r="H7" s="29" t="str">
        <x:f>IF(C7="Available","07:30",IF(D7="Available","12:30",IF(E7="Available","18:00",IF(F7="Available","22:30","Full"))))</x:f>
        <x:v>07:30</x:v>
      </x:c>
    </x:row>
    <x:row r="8">
      <x:c r="A8" s="54" t="d">
        <x:v>2026-10-28T00:00:00.000Z</x:v>
      </x:c>
      <x:c r="B8" s="29" t="str">
        <x:v>Wed</x:v>
      </x:c>
      <x:c r="C8" s="29" t="str">
        <x:v>Video 2: Asking for Directions in the City</x:v>
      </x:c>
      <x:c r="D8" s="29" t="str">
        <x:v>Available</x:v>
      </x:c>
      <x:c r="E8" s="29" t="str">
        <x:v>Video 1: Buying a Train Ticket at the Station</x:v>
      </x:c>
      <x:c r="F8" s="29" t="str">
        <x:v>Available</x:v>
      </x:c>
      <x:c r="G8" s="29" t="n">
        <x:f>COUNTIF(C8:F8,"Available")</x:f>
        <x:v>2</x:v>
      </x:c>
      <x:c r="H8" s="29" t="str">
        <x:f>IF(C8="Available","07:30",IF(D8="Available","12:30",IF(E8="Available","18:00",IF(F8="Available","22:30","Full"))))</x:f>
        <x:v>12:30</x:v>
      </x:c>
    </x:row>
    <x:row r="9">
      <x:c r="A9" s="54" t="d">
        <x:v>2026-10-29T00:00:00.000Z</x:v>
      </x:c>
      <x:c r="B9" s="29" t="str">
        <x:v>Thu</x:v>
      </x:c>
      <x:c r="C9" s="29" t="str">
        <x:v>Available</x:v>
      </x:c>
      <x:c r="D9" s="29" t="str">
        <x:v>Available</x:v>
      </x:c>
      <x:c r="E9" s="29" t="str">
        <x:v>Available</x:v>
      </x:c>
      <x:c r="F9" s="29" t="str">
        <x:v>Available</x:v>
      </x:c>
      <x:c r="G9" s="29" t="n">
        <x:f>COUNTIF(C9:F9,"Available")</x:f>
        <x:v>4</x:v>
      </x:c>
      <x:c r="H9" s="29" t="str">
        <x:f>IF(C9="Available","07:30",IF(D9="Available","12:30",IF(E9="Available","18:00",IF(F9="Available","22:30","Full"))))</x:f>
        <x:v>07:30</x:v>
      </x:c>
    </x:row>
    <x:row r="10">
      <x:c r="A10" s="54" t="d">
        <x:v>2026-10-30T00:00:00.000Z</x:v>
      </x:c>
      <x:c r="B10" s="29" t="str">
        <x:v>Fri</x:v>
      </x:c>
      <x:c r="C10" s="29" t="str">
        <x:v>Available</x:v>
      </x:c>
      <x:c r="D10" s="29" t="str">
        <x:v>Available</x:v>
      </x:c>
      <x:c r="E10" s="29" t="str">
        <x:v>Available</x:v>
      </x:c>
      <x:c r="F10" s="29" t="str">
        <x:v>Available</x:v>
      </x:c>
      <x:c r="G10" s="29" t="n">
        <x:f>COUNTIF(C10:F10,"Available")</x:f>
        <x:v>4</x:v>
      </x:c>
      <x:c r="H10" s="29" t="str">
        <x:f>IF(C10="Available","07:30",IF(D10="Available","12:30",IF(E10="Available","18:00",IF(F10="Available","22:30","Full"))))</x:f>
        <x:v>07:30</x:v>
      </x:c>
    </x:row>
    <x:row r="11">
      <x:c r="A11" s="54" t="d">
        <x:v>2026-10-31T00:00:00.000Z</x:v>
      </x:c>
      <x:c r="B11" s="29" t="str">
        <x:v>Sat</x:v>
      </x:c>
      <x:c r="C11" s="29" t="str">
        <x:v>Available</x:v>
      </x:c>
      <x:c r="D11" s="29" t="str">
        <x:v>Available</x:v>
      </x:c>
      <x:c r="E11" s="29" t="str">
        <x:v>Available</x:v>
      </x:c>
      <x:c r="F11" s="29" t="str">
        <x:v>Available</x:v>
      </x:c>
      <x:c r="G11" s="29" t="n">
        <x:f>COUNTIF(C11:F11,"Available")</x:f>
        <x:v>4</x:v>
      </x:c>
      <x:c r="H11" s="29" t="str">
        <x:f>IF(C11="Available","07:30",IF(D11="Available","12:30",IF(E11="Available","18:00",IF(F11="Available","22:30","Full"))))</x:f>
        <x:v>07:30</x:v>
      </x:c>
    </x:row>
    <x:row r="12">
      <x:c r="A12" s="54" t="d">
        <x:v>2026-11-01T00:00:00.000Z</x:v>
      </x:c>
      <x:c r="B12" s="29" t="str">
        <x:v>Sun</x:v>
      </x:c>
      <x:c r="C12" s="29" t="str">
        <x:v>Available</x:v>
      </x:c>
      <x:c r="D12" s="29" t="str">
        <x:v>Available</x:v>
      </x:c>
      <x:c r="E12" s="29" t="str">
        <x:v>Available</x:v>
      </x:c>
      <x:c r="F12" s="29" t="str">
        <x:v>Available</x:v>
      </x:c>
      <x:c r="G12" s="29" t="n">
        <x:f>COUNTIF(C12:F12,"Available")</x:f>
        <x:v>4</x:v>
      </x:c>
      <x:c r="H12" s="29" t="str">
        <x:f>IF(C12="Available","07:30",IF(D12="Available","12:30",IF(E12="Available","18:00",IF(F12="Available","22:30","Full"))))</x:f>
        <x:v>07:30</x:v>
      </x:c>
    </x:row>
    <x:row r="13">
      <x:c r="A13" s="54" t="d">
        <x:v>2026-11-02T00:00:00.000Z</x:v>
      </x:c>
      <x:c r="B13" s="29" t="str">
        <x:v>Mon</x:v>
      </x:c>
      <x:c r="C13" s="29" t="str">
        <x:v>Available</x:v>
      </x:c>
      <x:c r="D13" s="29" t="str">
        <x:v>Available</x:v>
      </x:c>
      <x:c r="E13" s="29" t="str">
        <x:v>Available</x:v>
      </x:c>
      <x:c r="F13" s="29" t="str">
        <x:v>Available</x:v>
      </x:c>
      <x:c r="G13" s="29" t="n">
        <x:f>COUNTIF(C13:F13,"Available")</x:f>
        <x:v>4</x:v>
      </x:c>
      <x:c r="H13" s="29" t="str">
        <x:f>IF(C13="Available","07:30",IF(D13="Available","12:30",IF(E13="Available","18:00",IF(F13="Available","22:30","Full"))))</x:f>
        <x:v>07:30</x:v>
      </x:c>
    </x:row>
    <x:row r="14">
      <x:c r="A14" s="54" t="d">
        <x:v>2026-11-03T00:00:00.000Z</x:v>
      </x:c>
      <x:c r="B14" s="29" t="str">
        <x:v>Tue</x:v>
      </x:c>
      <x:c r="C14" s="29" t="str">
        <x:v>Available</x:v>
      </x:c>
      <x:c r="D14" s="29" t="str">
        <x:v>Available</x:v>
      </x:c>
      <x:c r="E14" s="29" t="str">
        <x:v>Available</x:v>
      </x:c>
      <x:c r="F14" s="29" t="str">
        <x:v>Available</x:v>
      </x:c>
      <x:c r="G14" s="29" t="n">
        <x:f>COUNTIF(C14:F14,"Available")</x:f>
        <x:v>4</x:v>
      </x:c>
      <x:c r="H14" s="29" t="str">
        <x:f>IF(C14="Available","07:30",IF(D14="Available","12:30",IF(E14="Available","18:00",IF(F14="Available","22:30","Full"))))</x:f>
        <x:v>07:30</x:v>
      </x:c>
    </x:row>
    <x:row r="15">
      <x:c r="A15" s="54" t="d">
        <x:v>2026-11-04T00:00:00.000Z</x:v>
      </x:c>
      <x:c r="B15" s="29" t="str">
        <x:v>Wed</x:v>
      </x:c>
      <x:c r="C15" s="29" t="str">
        <x:v>Available</x:v>
      </x:c>
      <x:c r="D15" s="29" t="str">
        <x:v>Available</x:v>
      </x:c>
      <x:c r="E15" s="29" t="str">
        <x:v>Available</x:v>
      </x:c>
      <x:c r="F15" s="29" t="str">
        <x:v>Available</x:v>
      </x:c>
      <x:c r="G15" s="29" t="n">
        <x:f>COUNTIF(C15:F15,"Available")</x:f>
        <x:v>4</x:v>
      </x:c>
      <x:c r="H15" s="29" t="str">
        <x:f>IF(C15="Available","07:30",IF(D15="Available","12:30",IF(E15="Available","18:00",IF(F15="Available","22:30","Full"))))</x:f>
        <x:v>07:30</x:v>
      </x:c>
    </x:row>
    <x:row r="16">
      <x:c r="A16" s="54" t="d">
        <x:v>2026-11-05T00:00:00.000Z</x:v>
      </x:c>
      <x:c r="B16" s="29" t="str">
        <x:v>Thu</x:v>
      </x:c>
      <x:c r="C16" s="29" t="str">
        <x:v>Available</x:v>
      </x:c>
      <x:c r="D16" s="29" t="str">
        <x:v>Available</x:v>
      </x:c>
      <x:c r="E16" s="29" t="str">
        <x:v>Available</x:v>
      </x:c>
      <x:c r="F16" s="29" t="str">
        <x:v>Available</x:v>
      </x:c>
      <x:c r="G16" s="29" t="n">
        <x:f>COUNTIF(C16:F16,"Available")</x:f>
        <x:v>4</x:v>
      </x:c>
      <x:c r="H16" s="29" t="str">
        <x:f>IF(C16="Available","07:30",IF(D16="Available","12:30",IF(E16="Available","18:00",IF(F16="Available","22:30","Full"))))</x:f>
        <x:v>07:30</x:v>
      </x:c>
    </x:row>
    <x:row r="17">
      <x:c r="A17" s="54" t="d">
        <x:v>2026-11-06T00:00:00.000Z</x:v>
      </x:c>
      <x:c r="B17" s="29" t="str">
        <x:v>Fri</x:v>
      </x:c>
      <x:c r="C17" s="29" t="str">
        <x:v>Available</x:v>
      </x:c>
      <x:c r="D17" s="29" t="str">
        <x:v>Available</x:v>
      </x:c>
      <x:c r="E17" s="29" t="str">
        <x:v>Available</x:v>
      </x:c>
      <x:c r="F17" s="29" t="str">
        <x:v>Available</x:v>
      </x:c>
      <x:c r="G17" s="29" t="n">
        <x:f>COUNTIF(C17:F17,"Available")</x:f>
        <x:v>4</x:v>
      </x:c>
      <x:c r="H17" s="29" t="str">
        <x:f>IF(C17="Available","07:30",IF(D17="Available","12:30",IF(E17="Available","18:00",IF(F17="Available","22:30","Full"))))</x:f>
        <x:v>07:30</x:v>
      </x:c>
    </x:row>
    <x:row r="18">
      <x:c r="A18" s="54" t="d">
        <x:v>2026-11-07T00:00:00.000Z</x:v>
      </x:c>
      <x:c r="B18" s="29" t="str">
        <x:v>Sat</x:v>
      </x:c>
      <x:c r="C18" s="29" t="str">
        <x:v>Available</x:v>
      </x:c>
      <x:c r="D18" s="29" t="str">
        <x:v>Available</x:v>
      </x:c>
      <x:c r="E18" s="29" t="str">
        <x:v>Available</x:v>
      </x:c>
      <x:c r="F18" s="29" t="str">
        <x:v>Available</x:v>
      </x:c>
      <x:c r="G18" s="29" t="n">
        <x:f>COUNTIF(C18:F18,"Available")</x:f>
        <x:v>4</x:v>
      </x:c>
      <x:c r="H18" s="29" t="str">
        <x:f>IF(C18="Available","07:30",IF(D18="Available","12:30",IF(E18="Available","18:00",IF(F18="Available","22:30","Full"))))</x:f>
        <x:v>07:30</x:v>
      </x:c>
    </x:row>
    <x:row r="19">
      <x:c r="A19" s="55" t="d">
        <x:v>2026-11-08T00:00:00.000Z</x:v>
      </x:c>
      <x:c r="B19" s="30" t="str">
        <x:v>Sun</x:v>
      </x:c>
      <x:c r="C19" s="30" t="str">
        <x:v>Available</x:v>
      </x:c>
      <x:c r="D19" s="30" t="str">
        <x:v>Available</x:v>
      </x:c>
      <x:c r="E19" s="30" t="str">
        <x:v>Available</x:v>
      </x:c>
      <x:c r="F19" s="30" t="str">
        <x:v>Available</x:v>
      </x:c>
      <x:c r="G19" s="30" t="n">
        <x:f>COUNTIF(C19:F19,"Available")</x:f>
        <x:v>4</x:v>
      </x:c>
      <x:c r="H19" s="30" t="str">
        <x:f>IF(C19="Available","07:30",IF(D19="Available","12:30",IF(E19="Available","18:00",IF(F19="Available","22:30","Full"))))</x:f>
        <x:v>07:30</x:v>
      </x:c>
    </x:row>
    <x:row r="21" ht="34" customHeight="1">
      <x:c r="A21" s="58" t="str">
        <x:v>Manual changes to this workbook do not reschedule YouTube. Use the approved GitHub workflow so the manifest, matrix, tracker, and channel stay synchronized.</x:v>
      </x:c>
    </x:row>
  </x:sheetData>
  <x:mergeCells>
    <x:mergeCell ref="A2:H2"/>
    <x:mergeCell ref="A3:H3"/>
    <x:mergeCell ref="A21:H21"/>
  </x:mergeCells>
  <x:conditionalFormatting sqref="C6:F19">
    <x:cfRule type="containsText" dxfId="1" priority="1" operator="containsText" text="Available"/>
    <x:cfRule type="notContainsText" dxfId="2" priority="2" text="Available"/>
  </x:conditionalFormatting>
  <x:pageMargins left="0.7" right="0.7" top="0.75" bottom="0.75" header="0.3" footer="0.3"/>
</x:worksheet>
</file>